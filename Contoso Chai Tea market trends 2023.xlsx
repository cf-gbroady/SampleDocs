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cloudforce.sharepoint.com/sites/Documents/Internal/Shared Documents/PMO/Technical Training/Sample Docs/"/>
    </mc:Choice>
  </mc:AlternateContent>
  <xr:revisionPtr revIDLastSave="531" documentId="8_{E9940EB0-3E9A-4FED-B851-3DB695644D9A}" xr6:coauthVersionLast="47" xr6:coauthVersionMax="47" xr10:uidLastSave="{8AE8C095-8C64-46DD-B1C0-C583CD835A71}"/>
  <bookViews>
    <workbookView xWindow="700" yWindow="800" windowWidth="21600" windowHeight="11300" xr2:uid="{00000000-000D-0000-FFFF-FFFF00000000}"/>
  </bookViews>
  <sheets>
    <sheet name="Sheet1" sheetId="1" r:id="rId1"/>
    <sheet name="Analysis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2" i="1"/>
  <c r="G2" i="1"/>
  <c r="B14" i="1"/>
  <c r="G14" i="1" s="1"/>
  <c r="B13" i="1"/>
  <c r="G13" i="1" s="1"/>
  <c r="B12" i="1"/>
  <c r="B11" i="1"/>
  <c r="G11" i="1" s="1"/>
  <c r="B10" i="1"/>
  <c r="B9" i="1"/>
  <c r="G9" i="1" s="1"/>
  <c r="B8" i="1"/>
  <c r="G8" i="1" s="1"/>
  <c r="B7" i="1"/>
  <c r="G7" i="1" s="1"/>
  <c r="B6" i="1"/>
  <c r="G6" i="1" s="1"/>
  <c r="B5" i="1"/>
  <c r="G5" i="1" s="1"/>
  <c r="B4" i="1"/>
  <c r="G4" i="1" s="1"/>
  <c r="B3" i="1"/>
  <c r="G3" i="1" s="1"/>
  <c r="B2" i="1"/>
  <c r="A6" i="5" a="1"/>
  <c r="A6" i="5" l="1"/>
  <c r="A24" i="5" a="1"/>
  <c r="A24" i="5" l="1"/>
  <c r="A9" i="5" a="1"/>
  <c r="A9" i="5" s="1"/>
  <c r="A38" i="5" a="1"/>
  <c r="A38" i="5" l="1"/>
  <c r="A27" i="5" a="1"/>
  <c r="A27" i="5" s="1"/>
  <c r="A58" i="5" a="1"/>
  <c r="A58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Table1_df=xl(%P2%, headers=True)</code>
    </pythonScript>
    <pythonScript>
      <code>Table1_df['Monthly Growth Rate (%%)'] = pd.to_numeric(Table1_df['Monthly Growth Rate (%%)'], errors='coerce')
correlation_matrix = Table1_df.corr()
correlation_matrix</code>
    </pythonScript>
    <pythonScript>
      <code>import seaborn as sns
plt.figure(figsize=(10, 8))
sns.heatmap(correlation_matrix, annot=True, cmap='coolwarm', fmt='.2f', linewidths=0.5)
plt.title('Correlation Matrix Heatmap')
plt.show()</code>
    </pythonScript>
    <pythonScript>
      <code>sns.pairplot(Table1_df)
plt.show()</code>
    </pythonScript>
  </pythonScripts>
</python>
</file>

<file path=xl/sharedStrings.xml><?xml version="1.0" encoding="utf-8"?>
<sst xmlns="http://schemas.openxmlformats.org/spreadsheetml/2006/main" count="15" uniqueCount="14">
  <si>
    <t>Date</t>
  </si>
  <si>
    <t>Total Chai Sales (units)</t>
  </si>
  <si>
    <t>Artisanal Chai Sales (units)</t>
  </si>
  <si>
    <t>Premade Chai Sales (units)</t>
  </si>
  <si>
    <t>Social Media Engagement (views)</t>
  </si>
  <si>
    <t>Online Searches for Chai</t>
  </si>
  <si>
    <t>Analysis Sheet</t>
  </si>
  <si>
    <t>This sheet will include all Python code generated by Copilot.</t>
  </si>
  <si>
    <t>Load data from Sheet1, Table1</t>
  </si>
  <si>
    <t>Preview</t>
  </si>
  <si>
    <t>Monthly Growth Rate (%)</t>
  </si>
  <si>
    <t>Calculate the correlation matrix after handling empty strings</t>
  </si>
  <si>
    <t>Create a heatmap for the correlation matrix</t>
  </si>
  <si>
    <t>Generate a pair plot for the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</si>
</sst>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5">
    <dxf>
      <numFmt numFmtId="14" formatCode="0.00%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6350</xdr:rowOff>
    </xdr:from>
    <xdr:to>
      <xdr:col>5</xdr:col>
      <xdr:colOff>219587</xdr:colOff>
      <xdr:row>54</xdr:row>
      <xdr:rowOff>57150</xdr:rowOff>
    </xdr:to>
    <xdr:pic>
      <xdr:nvPicPr>
        <xdr:cNvPr id="2" name="Picture 1" title="Create a heatmap for the correlation matrix">
          <a:extLst>
            <a:ext uri="{FF2B5EF4-FFF2-40B4-BE49-F238E27FC236}">
              <a16:creationId xmlns:a16="http://schemas.microsoft.com/office/drawing/2014/main" id="{D9B44449-CD34-C07C-68F0-202055BD380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3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02500"/>
          <a:ext cx="3267587" cy="29464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0</xdr:colOff>
      <xdr:row>58</xdr:row>
      <xdr:rowOff>6350</xdr:rowOff>
    </xdr:from>
    <xdr:to>
      <xdr:col>4</xdr:col>
      <xdr:colOff>509998</xdr:colOff>
      <xdr:row>74</xdr:row>
      <xdr:rowOff>57150</xdr:rowOff>
    </xdr:to>
    <xdr:pic>
      <xdr:nvPicPr>
        <xdr:cNvPr id="3" name="Picture 2" title="Generate a pair plot for the DataFrame">
          <a:extLst>
            <a:ext uri="{FF2B5EF4-FFF2-40B4-BE49-F238E27FC236}">
              <a16:creationId xmlns:a16="http://schemas.microsoft.com/office/drawing/2014/main" id="{D89B6FCC-13C8-FB28-86D4-1AD6B9A54FA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5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79150"/>
          <a:ext cx="2948398" cy="29464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G14" totalsRowShown="0" headerRowDxfId="4" headerRowBorderDxfId="3" tableBorderDxfId="2">
  <autoFilter ref="A1:G14" xr:uid="{1CE8BEAE-8A12-499A-8901-FF2A3BC6FCA5}"/>
  <tableColumns count="7">
    <tableColumn id="1" xr3:uid="{2296BE30-301E-4EF2-95CF-F0BE896BB528}" name="Date" dataDxfId="1"/>
    <tableColumn id="2" xr3:uid="{8B57F1F3-5DDD-45B5-B113-D6F8CB97F466}" name="Total Chai Sales (units)"/>
    <tableColumn id="3" xr3:uid="{309F5893-C2A7-45AA-8E9B-0A3B5DAEA895}" name="Artisanal Chai Sales (units)"/>
    <tableColumn id="4" xr3:uid="{D89A811E-F659-4160-AB40-E17EB19BA36B}" name="Premade Chai Sales (units)"/>
    <tableColumn id="5" xr3:uid="{82C0F813-3BD0-49CB-A2A3-36E151719EB4}" name="Social Media Engagement (views)"/>
    <tableColumn id="6" xr3:uid="{A3C0D17F-E295-4150-A376-1E07DDE71BDA}" name="Online Searches for Chai"/>
    <tableColumn id="7" xr3:uid="{0F0CAE17-984E-4FF0-916E-9A63B2A9BCA0}" name="Monthly Growth Rate (%)" dataDxfId="0">
      <calculatedColumnFormula>IF(ROW()=2, "", (Table1[[#This Row],[Total Chai Sales (units)]] - OFFSET(Table1[[#This Row],[Total Chai Sales (units)]],-1,0)) / OFFSET(Table1[[#This Row],[Total Chai Sales (units)]],-1,0) * 100)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06" workbookViewId="0">
      <selection activeCell="E9" sqref="E9"/>
    </sheetView>
  </sheetViews>
  <sheetFormatPr defaultRowHeight="14.5" x14ac:dyDescent="0.35"/>
  <cols>
    <col min="1" max="1" width="18.26953125" bestFit="1" customWidth="1"/>
    <col min="2" max="2" width="26" bestFit="1" customWidth="1"/>
    <col min="3" max="3" width="29.453125" bestFit="1" customWidth="1"/>
    <col min="4" max="4" width="29.54296875" bestFit="1" customWidth="1"/>
    <col min="5" max="5" width="36" bestFit="1" customWidth="1"/>
    <col min="6" max="6" width="27.54296875" bestFit="1" customWidth="1"/>
    <col min="7" max="7" width="28.17968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</row>
    <row r="2" spans="1:7" x14ac:dyDescent="0.35">
      <c r="A2" s="1">
        <v>44926</v>
      </c>
      <c r="B2">
        <f t="shared" ref="B2:B14" si="0">SUM(C2+D2)</f>
        <v>784</v>
      </c>
      <c r="C2">
        <v>197</v>
      </c>
      <c r="D2">
        <v>587</v>
      </c>
      <c r="E2">
        <v>5373</v>
      </c>
      <c r="F2">
        <v>3393</v>
      </c>
      <c r="G2" s="6" t="str">
        <f ca="1">IF(ROW()=2, "", (Table1[[#This Row],[Total Chai Sales (units)]] - OFFSET(Table1[[#This Row],[Total Chai Sales (units)]],-1,0)) / OFFSET(Table1[[#This Row],[Total Chai Sales (units)]],-1,0) * 100)</f>
        <v/>
      </c>
    </row>
    <row r="3" spans="1:7" x14ac:dyDescent="0.35">
      <c r="A3" s="1">
        <v>44957</v>
      </c>
      <c r="B3">
        <f t="shared" si="0"/>
        <v>659</v>
      </c>
      <c r="C3">
        <v>448</v>
      </c>
      <c r="D3">
        <v>211</v>
      </c>
      <c r="E3">
        <v>6874</v>
      </c>
      <c r="F3">
        <v>2663</v>
      </c>
      <c r="G3" s="6">
        <f ca="1">IF(ROW()=2, "", (Table1[[#This Row],[Total Chai Sales (units)]] - OFFSET(Table1[[#This Row],[Total Chai Sales (units)]],-1,0)) / OFFSET(Table1[[#This Row],[Total Chai Sales (units)]],-1,0) * 100)</f>
        <v>-15.943877551020408</v>
      </c>
    </row>
    <row r="4" spans="1:7" x14ac:dyDescent="0.35">
      <c r="A4" s="1">
        <v>44985</v>
      </c>
      <c r="B4">
        <f t="shared" si="0"/>
        <v>729</v>
      </c>
      <c r="C4">
        <v>473</v>
      </c>
      <c r="D4">
        <v>256</v>
      </c>
      <c r="E4">
        <v>7744</v>
      </c>
      <c r="F4">
        <v>2546</v>
      </c>
      <c r="G4" s="6">
        <f ca="1">IF(ROW()=2, "", (Table1[[#This Row],[Total Chai Sales (units)]] - OFFSET(Table1[[#This Row],[Total Chai Sales (units)]],-1,0)) / OFFSET(Table1[[#This Row],[Total Chai Sales (units)]],-1,0) * 100)</f>
        <v>10.62215477996965</v>
      </c>
    </row>
    <row r="5" spans="1:7" x14ac:dyDescent="0.35">
      <c r="A5" s="1">
        <v>45016</v>
      </c>
      <c r="B5">
        <f t="shared" si="0"/>
        <v>292</v>
      </c>
      <c r="C5">
        <v>338</v>
      </c>
      <c r="D5">
        <v>-46</v>
      </c>
      <c r="E5">
        <v>4468</v>
      </c>
      <c r="F5">
        <v>2371</v>
      </c>
      <c r="G5" s="6">
        <f ca="1">IF(ROW()=2, "", (Table1[[#This Row],[Total Chai Sales (units)]] - OFFSET(Table1[[#This Row],[Total Chai Sales (units)]],-1,0)) / OFFSET(Table1[[#This Row],[Total Chai Sales (units)]],-1,0) * 100)</f>
        <v>-59.945130315500684</v>
      </c>
    </row>
    <row r="6" spans="1:7" x14ac:dyDescent="0.35">
      <c r="A6" s="1">
        <v>45046</v>
      </c>
      <c r="B6">
        <f t="shared" si="0"/>
        <v>935</v>
      </c>
      <c r="C6">
        <v>499</v>
      </c>
      <c r="D6">
        <v>436</v>
      </c>
      <c r="E6">
        <v>1705</v>
      </c>
      <c r="F6">
        <v>2996</v>
      </c>
      <c r="G6" s="6">
        <f ca="1">IF(ROW()=2, "", (Table1[[#This Row],[Total Chai Sales (units)]] - OFFSET(Table1[[#This Row],[Total Chai Sales (units)]],-1,0)) / OFFSET(Table1[[#This Row],[Total Chai Sales (units)]],-1,0) * 100)</f>
        <v>220.20547945205479</v>
      </c>
    </row>
    <row r="7" spans="1:7" x14ac:dyDescent="0.35">
      <c r="A7" s="1">
        <v>45077</v>
      </c>
      <c r="B7">
        <f t="shared" si="0"/>
        <v>863</v>
      </c>
      <c r="C7">
        <v>315</v>
      </c>
      <c r="D7">
        <v>548</v>
      </c>
      <c r="E7">
        <v>3599</v>
      </c>
      <c r="F7">
        <v>599</v>
      </c>
      <c r="G7" s="6">
        <f ca="1">IF(ROW()=2, "", (Table1[[#This Row],[Total Chai Sales (units)]] - OFFSET(Table1[[#This Row],[Total Chai Sales (units)]],-1,0)) / OFFSET(Table1[[#This Row],[Total Chai Sales (units)]],-1,0) * 100)</f>
        <v>-7.7005347593582893</v>
      </c>
    </row>
    <row r="8" spans="1:7" x14ac:dyDescent="0.35">
      <c r="A8" s="1">
        <v>45107</v>
      </c>
      <c r="B8">
        <f t="shared" si="0"/>
        <v>807</v>
      </c>
      <c r="C8">
        <v>235</v>
      </c>
      <c r="D8">
        <v>572</v>
      </c>
      <c r="E8">
        <v>9666</v>
      </c>
      <c r="F8">
        <v>5016</v>
      </c>
      <c r="G8" s="6">
        <f ca="1">IF(ROW()=2, "", (Table1[[#This Row],[Total Chai Sales (units)]] - OFFSET(Table1[[#This Row],[Total Chai Sales (units)]],-1,0)) / OFFSET(Table1[[#This Row],[Total Chai Sales (units)]],-1,0) * 100)</f>
        <v>-6.4889918887601388</v>
      </c>
    </row>
    <row r="9" spans="1:7" x14ac:dyDescent="0.35">
      <c r="A9" s="1">
        <v>45137</v>
      </c>
      <c r="B9">
        <f t="shared" si="0"/>
        <v>459</v>
      </c>
      <c r="C9">
        <v>177</v>
      </c>
      <c r="D9">
        <v>282</v>
      </c>
      <c r="E9">
        <v>26304</v>
      </c>
      <c r="F9">
        <v>2510</v>
      </c>
      <c r="G9" s="6">
        <f ca="1">IF(ROW()=2, "", (Table1[[#This Row],[Total Chai Sales (units)]] - OFFSET(Table1[[#This Row],[Total Chai Sales (units)]],-1,0)) / OFFSET(Table1[[#This Row],[Total Chai Sales (units)]],-1,0) * 100)</f>
        <v>-43.122676579925653</v>
      </c>
    </row>
    <row r="10" spans="1:7" x14ac:dyDescent="0.35">
      <c r="A10" s="1">
        <v>45167</v>
      </c>
      <c r="B10">
        <f t="shared" si="0"/>
        <v>109</v>
      </c>
      <c r="C10">
        <v>82</v>
      </c>
      <c r="D10">
        <v>27</v>
      </c>
      <c r="E10">
        <v>11691</v>
      </c>
      <c r="F10">
        <v>2594</v>
      </c>
      <c r="G10" s="6">
        <f ca="1">IF(ROW()=2, "", (Table1[[#This Row],[Total Chai Sales (units)]] - OFFSET(Table1[[#This Row],[Total Chai Sales (units)]],-1,0)) / OFFSET(Table1[[#This Row],[Total Chai Sales (units)]],-1,0) * 100)</f>
        <v>-76.252723311546845</v>
      </c>
    </row>
    <row r="11" spans="1:7" x14ac:dyDescent="0.35">
      <c r="A11" s="1">
        <v>45199</v>
      </c>
      <c r="B11">
        <f t="shared" si="0"/>
        <v>586</v>
      </c>
      <c r="C11">
        <v>388</v>
      </c>
      <c r="D11">
        <v>198</v>
      </c>
      <c r="E11">
        <v>6230</v>
      </c>
      <c r="F11">
        <v>2784</v>
      </c>
      <c r="G11" s="6">
        <f ca="1">IF(ROW()=2, "", (Table1[[#This Row],[Total Chai Sales (units)]] - OFFSET(Table1[[#This Row],[Total Chai Sales (units)]],-1,0)) / OFFSET(Table1[[#This Row],[Total Chai Sales (units)]],-1,0) * 100)</f>
        <v>437.61467889908261</v>
      </c>
    </row>
    <row r="12" spans="1:7" x14ac:dyDescent="0.35">
      <c r="A12" s="1">
        <v>45230</v>
      </c>
      <c r="B12">
        <f t="shared" si="0"/>
        <v>659</v>
      </c>
      <c r="C12">
        <v>448</v>
      </c>
      <c r="D12">
        <v>211</v>
      </c>
      <c r="E12">
        <v>6874</v>
      </c>
      <c r="F12">
        <v>2663</v>
      </c>
      <c r="G12" s="6">
        <f ca="1">IF(ROW()=2, "", (Table1[[#This Row],[Total Chai Sales (units)]] - OFFSET(Table1[[#This Row],[Total Chai Sales (units)]],-1,0)) / OFFSET(Table1[[#This Row],[Total Chai Sales (units)]],-1,0) * 100)</f>
        <v>12.457337883959044</v>
      </c>
    </row>
    <row r="13" spans="1:7" x14ac:dyDescent="0.35">
      <c r="A13" s="1">
        <v>45260</v>
      </c>
      <c r="B13">
        <f t="shared" si="0"/>
        <v>729</v>
      </c>
      <c r="C13">
        <v>473</v>
      </c>
      <c r="D13">
        <v>256</v>
      </c>
      <c r="E13">
        <v>7744</v>
      </c>
      <c r="F13">
        <v>2546</v>
      </c>
      <c r="G13" s="6">
        <f ca="1">IF(ROW()=2, "", (Table1[[#This Row],[Total Chai Sales (units)]] - OFFSET(Table1[[#This Row],[Total Chai Sales (units)]],-1,0)) / OFFSET(Table1[[#This Row],[Total Chai Sales (units)]],-1,0) * 100)</f>
        <v>10.62215477996965</v>
      </c>
    </row>
    <row r="14" spans="1:7" x14ac:dyDescent="0.35">
      <c r="A14" s="1">
        <v>45291</v>
      </c>
      <c r="B14">
        <f t="shared" si="0"/>
        <v>1117</v>
      </c>
      <c r="C14">
        <v>690</v>
      </c>
      <c r="D14">
        <v>427</v>
      </c>
      <c r="E14">
        <v>8312</v>
      </c>
      <c r="F14">
        <v>2987</v>
      </c>
      <c r="G14" s="6">
        <f ca="1">IF(ROW()=2, "", (Table1[[#This Row],[Total Chai Sales (units)]] - OFFSET(Table1[[#This Row],[Total Chai Sales (units)]],-1,0)) / OFFSET(Table1[[#This Row],[Total Chai Sales (units)]],-1,0) * 100)</f>
        <v>53.223593964334704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8FD8-1E5A-4879-9247-7A80EC87C67F}">
  <dimension ref="A1:H58"/>
  <sheetViews>
    <sheetView topLeftCell="A39" workbookViewId="0">
      <selection activeCell="A58" sqref="A58"/>
    </sheetView>
  </sheetViews>
  <sheetFormatPr defaultRowHeight="14.5" x14ac:dyDescent="0.35"/>
  <sheetData>
    <row r="1" spans="1:8" ht="31" x14ac:dyDescent="0.7">
      <c r="A1" s="3" t="s">
        <v>6</v>
      </c>
    </row>
    <row r="2" spans="1:8" x14ac:dyDescent="0.35">
      <c r="A2" t="s">
        <v>7</v>
      </c>
    </row>
    <row r="5" spans="1:8" ht="18.5" x14ac:dyDescent="0.45">
      <c r="A5" s="4" t="s">
        <v>8</v>
      </c>
    </row>
    <row r="6" spans="1:8" x14ac:dyDescent="0.35">
      <c r="A6" t="e" cm="1" vm="1">
        <f t="array" aca="1" ref="A6" ca="1">_xlfn._xlws.PY(0,1,Table1[[#Headers],[#Data]])</f>
        <v>#VALUE!</v>
      </c>
    </row>
    <row r="8" spans="1:8" ht="15.5" x14ac:dyDescent="0.35">
      <c r="A8" s="5" t="s">
        <v>9</v>
      </c>
    </row>
    <row r="9" spans="1:8" x14ac:dyDescent="0.35">
      <c r="A9" t="e" cm="1" vm="1">
        <f t="array" aca="1" ref="A9:H20" ca="1">IFERROR(_FV(A6,"arrayPreview"),_xlfn._DF_Python_str(A6))</f>
        <v>#VALUE!</v>
      </c>
      <c r="B9" t="e" vm="1">
        <f ca="1"/>
        <v>#VALUE!</v>
      </c>
      <c r="C9" t="e" vm="1">
        <f ca="1"/>
        <v>#VALUE!</v>
      </c>
      <c r="D9" t="e" vm="1">
        <f ca="1"/>
        <v>#VALUE!</v>
      </c>
      <c r="E9" t="e" vm="1">
        <f ca="1"/>
        <v>#VALUE!</v>
      </c>
      <c r="F9" t="e" vm="1">
        <f ca="1"/>
        <v>#VALUE!</v>
      </c>
      <c r="G9" t="e" vm="1">
        <f ca="1"/>
        <v>#VALUE!</v>
      </c>
      <c r="H9" t="e" vm="1">
        <f ca="1"/>
        <v>#VALUE!</v>
      </c>
    </row>
    <row r="10" spans="1:8" x14ac:dyDescent="0.35">
      <c r="A10" t="e" vm="1">
        <f ca="1"/>
        <v>#VALUE!</v>
      </c>
      <c r="B10" t="e" vm="1">
        <f ca="1"/>
        <v>#VALUE!</v>
      </c>
      <c r="C10" t="e" vm="1">
        <f ca="1"/>
        <v>#VALUE!</v>
      </c>
      <c r="D10" t="e" vm="1">
        <f ca="1"/>
        <v>#VALUE!</v>
      </c>
      <c r="E10" t="e" vm="1">
        <f ca="1"/>
        <v>#VALUE!</v>
      </c>
      <c r="F10" t="e" vm="1">
        <f ca="1"/>
        <v>#VALUE!</v>
      </c>
      <c r="G10" t="e" vm="1">
        <f ca="1"/>
        <v>#VALUE!</v>
      </c>
      <c r="H10" t="e" vm="1">
        <f ca="1"/>
        <v>#VALUE!</v>
      </c>
    </row>
    <row r="11" spans="1:8" x14ac:dyDescent="0.35">
      <c r="A11" t="e" vm="1">
        <f ca="1"/>
        <v>#VALUE!</v>
      </c>
      <c r="B11" t="e" vm="1">
        <f ca="1"/>
        <v>#VALUE!</v>
      </c>
      <c r="C11" t="e" vm="1">
        <f ca="1"/>
        <v>#VALUE!</v>
      </c>
      <c r="D11" t="e" vm="1">
        <f ca="1"/>
        <v>#VALUE!</v>
      </c>
      <c r="E11" t="e" vm="1">
        <f ca="1"/>
        <v>#VALUE!</v>
      </c>
      <c r="F11" t="e" vm="1">
        <f ca="1"/>
        <v>#VALUE!</v>
      </c>
      <c r="G11" t="e" vm="1">
        <f ca="1"/>
        <v>#VALUE!</v>
      </c>
      <c r="H11" t="e" vm="1">
        <f ca="1"/>
        <v>#VALUE!</v>
      </c>
    </row>
    <row r="12" spans="1:8" x14ac:dyDescent="0.35">
      <c r="A12" t="e" vm="1">
        <f ca="1"/>
        <v>#VALUE!</v>
      </c>
      <c r="B12" t="e" vm="1">
        <f ca="1"/>
        <v>#VALUE!</v>
      </c>
      <c r="C12" t="e" vm="1">
        <f ca="1"/>
        <v>#VALUE!</v>
      </c>
      <c r="D12" t="e" vm="1">
        <f ca="1"/>
        <v>#VALUE!</v>
      </c>
      <c r="E12" t="e" vm="1">
        <f ca="1"/>
        <v>#VALUE!</v>
      </c>
      <c r="F12" t="e" vm="1">
        <f ca="1"/>
        <v>#VALUE!</v>
      </c>
      <c r="G12" t="e" vm="1">
        <f ca="1"/>
        <v>#VALUE!</v>
      </c>
      <c r="H12" t="e" vm="1">
        <f ca="1"/>
        <v>#VALUE!</v>
      </c>
    </row>
    <row r="13" spans="1:8" x14ac:dyDescent="0.35">
      <c r="A13" t="e" vm="1">
        <f ca="1"/>
        <v>#VALUE!</v>
      </c>
      <c r="B13" t="e" vm="1">
        <f ca="1"/>
        <v>#VALUE!</v>
      </c>
      <c r="C13" t="e" vm="1">
        <f ca="1"/>
        <v>#VALUE!</v>
      </c>
      <c r="D13" t="e" vm="1">
        <f ca="1"/>
        <v>#VALUE!</v>
      </c>
      <c r="E13" t="e" vm="1">
        <f ca="1"/>
        <v>#VALUE!</v>
      </c>
      <c r="F13" t="e" vm="1">
        <f ca="1"/>
        <v>#VALUE!</v>
      </c>
      <c r="G13" t="e" vm="1">
        <f ca="1"/>
        <v>#VALUE!</v>
      </c>
      <c r="H13" t="e" vm="1">
        <f ca="1"/>
        <v>#VALUE!</v>
      </c>
    </row>
    <row r="14" spans="1:8" x14ac:dyDescent="0.35">
      <c r="A14" t="e" vm="1">
        <f ca="1"/>
        <v>#VALUE!</v>
      </c>
      <c r="B14" t="e" vm="1">
        <f ca="1"/>
        <v>#VALUE!</v>
      </c>
      <c r="C14" t="e" vm="1">
        <f ca="1"/>
        <v>#VALUE!</v>
      </c>
      <c r="D14" t="e" vm="1">
        <f ca="1"/>
        <v>#VALUE!</v>
      </c>
      <c r="E14" t="e" vm="1">
        <f ca="1"/>
        <v>#VALUE!</v>
      </c>
      <c r="F14" t="e" vm="1">
        <f ca="1"/>
        <v>#VALUE!</v>
      </c>
      <c r="G14" t="e" vm="1">
        <f ca="1"/>
        <v>#VALUE!</v>
      </c>
      <c r="H14" t="e" vm="1">
        <f ca="1"/>
        <v>#VALUE!</v>
      </c>
    </row>
    <row r="15" spans="1:8" x14ac:dyDescent="0.35">
      <c r="A15" t="e" vm="1">
        <f ca="1"/>
        <v>#VALUE!</v>
      </c>
      <c r="B15" t="e" vm="1">
        <f ca="1"/>
        <v>#VALUE!</v>
      </c>
      <c r="C15" t="e" vm="1">
        <f ca="1"/>
        <v>#VALUE!</v>
      </c>
      <c r="D15" t="e" vm="1">
        <f ca="1"/>
        <v>#VALUE!</v>
      </c>
      <c r="E15" t="e" vm="1">
        <f ca="1"/>
        <v>#VALUE!</v>
      </c>
      <c r="F15" t="e" vm="1">
        <f ca="1"/>
        <v>#VALUE!</v>
      </c>
      <c r="G15" t="e" vm="1">
        <f ca="1"/>
        <v>#VALUE!</v>
      </c>
      <c r="H15" t="e" vm="1">
        <f ca="1"/>
        <v>#VALUE!</v>
      </c>
    </row>
    <row r="16" spans="1:8" x14ac:dyDescent="0.35">
      <c r="A16" t="e" vm="1">
        <f ca="1"/>
        <v>#VALUE!</v>
      </c>
      <c r="B16" t="e" vm="1">
        <f ca="1"/>
        <v>#VALUE!</v>
      </c>
      <c r="C16" t="e" vm="1">
        <f ca="1"/>
        <v>#VALUE!</v>
      </c>
      <c r="D16" t="e" vm="1">
        <f ca="1"/>
        <v>#VALUE!</v>
      </c>
      <c r="E16" t="e" vm="1">
        <f ca="1"/>
        <v>#VALUE!</v>
      </c>
      <c r="F16" t="e" vm="1">
        <f ca="1"/>
        <v>#VALUE!</v>
      </c>
      <c r="G16" t="e" vm="1">
        <f ca="1"/>
        <v>#VALUE!</v>
      </c>
      <c r="H16" t="e" vm="1">
        <f ca="1"/>
        <v>#VALUE!</v>
      </c>
    </row>
    <row r="17" spans="1:8" x14ac:dyDescent="0.35">
      <c r="A17" t="e" vm="1">
        <f ca="1"/>
        <v>#VALUE!</v>
      </c>
      <c r="B17" t="e" vm="1">
        <f ca="1"/>
        <v>#VALUE!</v>
      </c>
      <c r="C17" t="e" vm="1">
        <f ca="1"/>
        <v>#VALUE!</v>
      </c>
      <c r="D17" t="e" vm="1">
        <f ca="1"/>
        <v>#VALUE!</v>
      </c>
      <c r="E17" t="e" vm="1">
        <f ca="1"/>
        <v>#VALUE!</v>
      </c>
      <c r="F17" t="e" vm="1">
        <f ca="1"/>
        <v>#VALUE!</v>
      </c>
      <c r="G17" t="e" vm="1">
        <f ca="1"/>
        <v>#VALUE!</v>
      </c>
      <c r="H17" t="e" vm="1">
        <f ca="1"/>
        <v>#VALUE!</v>
      </c>
    </row>
    <row r="18" spans="1:8" x14ac:dyDescent="0.35">
      <c r="A18" t="e" vm="1">
        <f ca="1"/>
        <v>#VALUE!</v>
      </c>
      <c r="B18" t="e" vm="1">
        <f ca="1"/>
        <v>#VALUE!</v>
      </c>
      <c r="C18" t="e" vm="1">
        <f ca="1"/>
        <v>#VALUE!</v>
      </c>
      <c r="D18" t="e" vm="1">
        <f ca="1"/>
        <v>#VALUE!</v>
      </c>
      <c r="E18" t="e" vm="1">
        <f ca="1"/>
        <v>#VALUE!</v>
      </c>
      <c r="F18" t="e" vm="1">
        <f ca="1"/>
        <v>#VALUE!</v>
      </c>
      <c r="G18" t="e" vm="1">
        <f ca="1"/>
        <v>#VALUE!</v>
      </c>
      <c r="H18" t="e" vm="1">
        <f ca="1"/>
        <v>#VALUE!</v>
      </c>
    </row>
    <row r="19" spans="1:8" x14ac:dyDescent="0.35">
      <c r="A19" t="e" vm="1">
        <f ca="1"/>
        <v>#VALUE!</v>
      </c>
      <c r="B19" t="e" vm="1">
        <f ca="1"/>
        <v>#VALUE!</v>
      </c>
      <c r="C19" t="e" vm="1">
        <f ca="1"/>
        <v>#VALUE!</v>
      </c>
      <c r="D19" t="e" vm="1">
        <f ca="1"/>
        <v>#VALUE!</v>
      </c>
      <c r="E19" t="e" vm="1">
        <f ca="1"/>
        <v>#VALUE!</v>
      </c>
      <c r="F19" t="e" vm="1">
        <f ca="1"/>
        <v>#VALUE!</v>
      </c>
      <c r="G19" t="e" vm="1">
        <f ca="1"/>
        <v>#VALUE!</v>
      </c>
      <c r="H19" t="e" vm="1">
        <f ca="1"/>
        <v>#VALUE!</v>
      </c>
    </row>
    <row r="20" spans="1:8" x14ac:dyDescent="0.35">
      <c r="A20" t="e" vm="1">
        <f ca="1"/>
        <v>#VALUE!</v>
      </c>
      <c r="B20" t="e" vm="1">
        <f ca="1"/>
        <v>#VALUE!</v>
      </c>
      <c r="C20" t="e" vm="1">
        <f ca="1"/>
        <v>#VALUE!</v>
      </c>
      <c r="D20" t="e" vm="1">
        <f ca="1"/>
        <v>#VALUE!</v>
      </c>
      <c r="E20" t="e" vm="1">
        <f ca="1"/>
        <v>#VALUE!</v>
      </c>
      <c r="F20" t="e" vm="1">
        <f ca="1"/>
        <v>#VALUE!</v>
      </c>
      <c r="G20" t="e" vm="1">
        <f ca="1"/>
        <v>#VALUE!</v>
      </c>
      <c r="H20" t="e" vm="1">
        <f ca="1"/>
        <v>#VALUE!</v>
      </c>
    </row>
    <row r="23" spans="1:8" ht="18.5" x14ac:dyDescent="0.45">
      <c r="A23" s="4" t="s">
        <v>11</v>
      </c>
    </row>
    <row r="24" spans="1:8" x14ac:dyDescent="0.35">
      <c r="A24" t="e" cm="1" vm="1">
        <f t="array" aca="1" ref="A24" ca="1">_xlfn._xlws.PY(1,1)</f>
        <v>#VALUE!</v>
      </c>
    </row>
    <row r="26" spans="1:8" ht="15.5" x14ac:dyDescent="0.35">
      <c r="A26" s="5" t="s">
        <v>9</v>
      </c>
    </row>
    <row r="27" spans="1:8" x14ac:dyDescent="0.35">
      <c r="A27" t="e" cm="1" vm="1">
        <f t="array" aca="1" ref="A27:H34" ca="1">IFERROR(_FV(A24,"arrayPreview"),_xlfn._DF_Python_str(A24))</f>
        <v>#VALUE!</v>
      </c>
      <c r="B27" t="e" vm="1">
        <f ca="1"/>
        <v>#VALUE!</v>
      </c>
      <c r="C27" t="e" vm="1">
        <f ca="1"/>
        <v>#VALUE!</v>
      </c>
      <c r="D27" t="e" vm="1">
        <f ca="1"/>
        <v>#VALUE!</v>
      </c>
      <c r="E27" t="e" vm="1">
        <f ca="1"/>
        <v>#VALUE!</v>
      </c>
      <c r="F27" t="e" vm="1">
        <f ca="1"/>
        <v>#VALUE!</v>
      </c>
      <c r="G27" t="e" vm="1">
        <f ca="1"/>
        <v>#VALUE!</v>
      </c>
      <c r="H27" t="e" vm="1">
        <f ca="1"/>
        <v>#VALUE!</v>
      </c>
    </row>
    <row r="28" spans="1:8" x14ac:dyDescent="0.35">
      <c r="A28" t="e" vm="1">
        <f ca="1"/>
        <v>#VALUE!</v>
      </c>
      <c r="B28" t="e" vm="1">
        <f ca="1"/>
        <v>#VALUE!</v>
      </c>
      <c r="C28" t="e" vm="1">
        <f ca="1"/>
        <v>#VALUE!</v>
      </c>
      <c r="D28" t="e" vm="1">
        <f ca="1"/>
        <v>#VALUE!</v>
      </c>
      <c r="E28" t="e" vm="1">
        <f ca="1"/>
        <v>#VALUE!</v>
      </c>
      <c r="F28" t="e" vm="1">
        <f ca="1"/>
        <v>#VALUE!</v>
      </c>
      <c r="G28" t="e" vm="1">
        <f ca="1"/>
        <v>#VALUE!</v>
      </c>
      <c r="H28" t="e" vm="1">
        <f ca="1"/>
        <v>#VALUE!</v>
      </c>
    </row>
    <row r="29" spans="1:8" x14ac:dyDescent="0.35">
      <c r="A29" t="e" vm="1">
        <f ca="1"/>
        <v>#VALUE!</v>
      </c>
      <c r="B29" t="e" vm="1">
        <f ca="1"/>
        <v>#VALUE!</v>
      </c>
      <c r="C29" t="e" vm="1">
        <f ca="1"/>
        <v>#VALUE!</v>
      </c>
      <c r="D29" t="e" vm="1">
        <f ca="1"/>
        <v>#VALUE!</v>
      </c>
      <c r="E29" t="e" vm="1">
        <f ca="1"/>
        <v>#VALUE!</v>
      </c>
      <c r="F29" t="e" vm="1">
        <f ca="1"/>
        <v>#VALUE!</v>
      </c>
      <c r="G29" t="e" vm="1">
        <f ca="1"/>
        <v>#VALUE!</v>
      </c>
      <c r="H29" t="e" vm="1">
        <f ca="1"/>
        <v>#VALUE!</v>
      </c>
    </row>
    <row r="30" spans="1:8" x14ac:dyDescent="0.35">
      <c r="A30" t="e" vm="1">
        <f ca="1"/>
        <v>#VALUE!</v>
      </c>
      <c r="B30" t="e" vm="1">
        <f ca="1"/>
        <v>#VALUE!</v>
      </c>
      <c r="C30" t="e" vm="1">
        <f ca="1"/>
        <v>#VALUE!</v>
      </c>
      <c r="D30" t="e" vm="1">
        <f ca="1"/>
        <v>#VALUE!</v>
      </c>
      <c r="E30" t="e" vm="1">
        <f ca="1"/>
        <v>#VALUE!</v>
      </c>
      <c r="F30" t="e" vm="1">
        <f ca="1"/>
        <v>#VALUE!</v>
      </c>
      <c r="G30" t="e" vm="1">
        <f ca="1"/>
        <v>#VALUE!</v>
      </c>
      <c r="H30" t="e" vm="1">
        <f ca="1"/>
        <v>#VALUE!</v>
      </c>
    </row>
    <row r="31" spans="1:8" x14ac:dyDescent="0.35">
      <c r="A31" t="e" vm="1">
        <f ca="1"/>
        <v>#VALUE!</v>
      </c>
      <c r="B31" t="e" vm="1">
        <f ca="1"/>
        <v>#VALUE!</v>
      </c>
      <c r="C31" t="e" vm="1">
        <f ca="1"/>
        <v>#VALUE!</v>
      </c>
      <c r="D31" t="e" vm="1">
        <f ca="1"/>
        <v>#VALUE!</v>
      </c>
      <c r="E31" t="e" vm="1">
        <f ca="1"/>
        <v>#VALUE!</v>
      </c>
      <c r="F31" t="e" vm="1">
        <f ca="1"/>
        <v>#VALUE!</v>
      </c>
      <c r="G31" t="e" vm="1">
        <f ca="1"/>
        <v>#VALUE!</v>
      </c>
      <c r="H31" t="e" vm="1">
        <f ca="1"/>
        <v>#VALUE!</v>
      </c>
    </row>
    <row r="32" spans="1:8" x14ac:dyDescent="0.35">
      <c r="A32" t="e" vm="1">
        <f ca="1"/>
        <v>#VALUE!</v>
      </c>
      <c r="B32" t="e" vm="1">
        <f ca="1"/>
        <v>#VALUE!</v>
      </c>
      <c r="C32" t="e" vm="1">
        <f ca="1"/>
        <v>#VALUE!</v>
      </c>
      <c r="D32" t="e" vm="1">
        <f ca="1"/>
        <v>#VALUE!</v>
      </c>
      <c r="E32" t="e" vm="1">
        <f ca="1"/>
        <v>#VALUE!</v>
      </c>
      <c r="F32" t="e" vm="1">
        <f ca="1"/>
        <v>#VALUE!</v>
      </c>
      <c r="G32" t="e" vm="1">
        <f ca="1"/>
        <v>#VALUE!</v>
      </c>
      <c r="H32" t="e" vm="1">
        <f ca="1"/>
        <v>#VALUE!</v>
      </c>
    </row>
    <row r="33" spans="1:8" x14ac:dyDescent="0.35">
      <c r="A33" t="e" vm="1">
        <f ca="1"/>
        <v>#VALUE!</v>
      </c>
      <c r="B33" t="e" vm="1">
        <f ca="1"/>
        <v>#VALUE!</v>
      </c>
      <c r="C33" t="e" vm="1">
        <f ca="1"/>
        <v>#VALUE!</v>
      </c>
      <c r="D33" t="e" vm="1">
        <f ca="1"/>
        <v>#VALUE!</v>
      </c>
      <c r="E33" t="e" vm="1">
        <f ca="1"/>
        <v>#VALUE!</v>
      </c>
      <c r="F33" t="e" vm="1">
        <f ca="1"/>
        <v>#VALUE!</v>
      </c>
      <c r="G33" t="e" vm="1">
        <f ca="1"/>
        <v>#VALUE!</v>
      </c>
      <c r="H33" t="e" vm="1">
        <f ca="1"/>
        <v>#VALUE!</v>
      </c>
    </row>
    <row r="34" spans="1:8" x14ac:dyDescent="0.35">
      <c r="A34" t="e" vm="1">
        <f ca="1"/>
        <v>#VALUE!</v>
      </c>
      <c r="B34" t="e" vm="1">
        <f ca="1"/>
        <v>#VALUE!</v>
      </c>
      <c r="C34" t="e" vm="1">
        <f ca="1"/>
        <v>#VALUE!</v>
      </c>
      <c r="D34" t="e" vm="1">
        <f ca="1"/>
        <v>#VALUE!</v>
      </c>
      <c r="E34" t="e" vm="1">
        <f ca="1"/>
        <v>#VALUE!</v>
      </c>
      <c r="F34" t="e" vm="1">
        <f ca="1"/>
        <v>#VALUE!</v>
      </c>
      <c r="G34" t="e" vm="1">
        <f ca="1"/>
        <v>#VALUE!</v>
      </c>
      <c r="H34" t="e" vm="1">
        <f ca="1"/>
        <v>#VALUE!</v>
      </c>
    </row>
    <row r="37" spans="1:8" ht="18.5" x14ac:dyDescent="0.45">
      <c r="A37" s="4" t="s">
        <v>12</v>
      </c>
    </row>
    <row r="38" spans="1:8" x14ac:dyDescent="0.35">
      <c r="A38" t="e" cm="1" vm="1">
        <f t="array" aca="1" ref="A38" ca="1">_xlfn._xlws.PY(2,1)</f>
        <v>#VALUE!</v>
      </c>
    </row>
    <row r="57" spans="1:1" ht="18.5" x14ac:dyDescent="0.45">
      <c r="A57" s="4" t="s">
        <v>13</v>
      </c>
    </row>
    <row r="58" spans="1:1" x14ac:dyDescent="0.35">
      <c r="A58" t="e" cm="1" vm="1">
        <f t="array" aca="1" ref="A58" ca="1">_xlfn._xlws.PY(3,1)</f>
        <v>#VALUE!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549313FFC8C4EA5D18D2ACEBD42CD" ma:contentTypeVersion="12" ma:contentTypeDescription="Create a new document." ma:contentTypeScope="" ma:versionID="223159443e3f6a931c1cb3e594560914">
  <xsd:schema xmlns:xsd="http://www.w3.org/2001/XMLSchema" xmlns:xs="http://www.w3.org/2001/XMLSchema" xmlns:p="http://schemas.microsoft.com/office/2006/metadata/properties" xmlns:ns2="6c87a7e4-8606-4b63-9ce9-945543812311" xmlns:ns3="be83895b-3c55-4245-aa3d-4ac75f77ee06" targetNamespace="http://schemas.microsoft.com/office/2006/metadata/properties" ma:root="true" ma:fieldsID="6e408736379e12ceb8f5de6160857517" ns2:_="" ns3:_="">
    <xsd:import namespace="6c87a7e4-8606-4b63-9ce9-945543812311"/>
    <xsd:import namespace="be83895b-3c55-4245-aa3d-4ac75f77ee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7a7e4-8606-4b63-9ce9-945543812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b410e4-d159-477b-99d8-e3c6da29a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3895b-3c55-4245-aa3d-4ac75f77ee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f7ec1f-7e23-43cf-b0df-2eca76e899bc}" ma:internalName="TaxCatchAll" ma:showField="CatchAllData" ma:web="be83895b-3c55-4245-aa3d-4ac75f77e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83895b-3c55-4245-aa3d-4ac75f77ee06" xsi:nil="true"/>
    <lcf76f155ced4ddcb4097134ff3c332f xmlns="6c87a7e4-8606-4b63-9ce9-9455438123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77C1D-0BF9-43DE-A0BE-DAD6C18D51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0AAFD4-5B98-4CD0-8628-4BEF6EEDF97C}"/>
</file>

<file path=customXml/itemProps3.xml><?xml version="1.0" encoding="utf-8"?>
<ds:datastoreItem xmlns:ds="http://schemas.openxmlformats.org/officeDocument/2006/customXml" ds:itemID="{0358AA8D-861F-413A-BC26-7FCCCD63EF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53b30f1-8542-4018-95e5-c6f1d8b7bfd6"/>
    <ds:schemaRef ds:uri="94d69430-8fbc-42e6-9dce-fe1350491a04"/>
  </ds:schemaRefs>
</ds:datastoreItem>
</file>

<file path=docMetadata/LabelInfo.xml><?xml version="1.0" encoding="utf-8"?>
<clbl:labelList xmlns:clbl="http://schemas.microsoft.com/office/2020/mipLabelMetadata">
  <clbl:label id="{79cec4f2-03be-4e84-ba1a-7de42b0c0b88}" enabled="1" method="Privileged" siteId="{c85487db-d5f3-45e1-9158-876d58525ccf}" contentBits="0" removed="0"/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Garrett Broady</cp:lastModifiedBy>
  <cp:revision/>
  <dcterms:created xsi:type="dcterms:W3CDTF">2023-12-14T18:06:20Z</dcterms:created>
  <dcterms:modified xsi:type="dcterms:W3CDTF">2025-02-11T01:24:50Z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0x010100B0B549313FFC8C4EA5D18D2ACEBD42CD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